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herkasovaKP\Downloads\"/>
    </mc:Choice>
  </mc:AlternateContent>
  <xr:revisionPtr revIDLastSave="0" documentId="13_ncr:1_{A0E4F257-F80B-412A-AC8F-4586880BA37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Параметры" sheetId="1" r:id="rId1"/>
    <sheet name="План по датам" sheetId="2" r:id="rId2"/>
    <sheet name="Сводка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3" l="1"/>
  <c r="D14" i="3" s="1"/>
  <c r="C13" i="3"/>
  <c r="D13" i="3" s="1"/>
  <c r="L11" i="3"/>
  <c r="N11" i="3" s="1"/>
  <c r="H9" i="3"/>
  <c r="G9" i="3"/>
  <c r="F9" i="3"/>
  <c r="E9" i="3"/>
  <c r="D9" i="3"/>
  <c r="C9" i="3"/>
  <c r="B9" i="3"/>
  <c r="H8" i="3"/>
  <c r="G8" i="3"/>
  <c r="F8" i="3"/>
  <c r="E8" i="3"/>
  <c r="D8" i="3"/>
  <c r="C8" i="3"/>
  <c r="B8" i="3"/>
  <c r="H7" i="3"/>
  <c r="G7" i="3"/>
  <c r="F7" i="3"/>
  <c r="E7" i="3"/>
  <c r="D7" i="3"/>
  <c r="C7" i="3"/>
  <c r="B7" i="3"/>
  <c r="H6" i="3"/>
  <c r="G6" i="3"/>
  <c r="F6" i="3"/>
  <c r="E6" i="3"/>
  <c r="D6" i="3"/>
  <c r="C6" i="3"/>
  <c r="B6" i="3"/>
  <c r="H5" i="3"/>
  <c r="G5" i="3"/>
  <c r="F5" i="3"/>
  <c r="E5" i="3"/>
  <c r="D5" i="3"/>
  <c r="C5" i="3"/>
  <c r="B5" i="3"/>
  <c r="H4" i="3"/>
  <c r="G4" i="3"/>
  <c r="J4" i="3" s="1"/>
  <c r="J5" i="3" s="1"/>
  <c r="J6" i="3" s="1"/>
  <c r="J7" i="3" s="1"/>
  <c r="J8" i="3" s="1"/>
  <c r="J9" i="3" s="1"/>
  <c r="C16" i="3" s="1"/>
  <c r="D16" i="3" s="1"/>
  <c r="F4" i="3"/>
  <c r="I4" i="3" s="1"/>
  <c r="I5" i="3" s="1"/>
  <c r="I6" i="3" s="1"/>
  <c r="I7" i="3" s="1"/>
  <c r="E4" i="3"/>
  <c r="D4" i="3"/>
  <c r="C4" i="3"/>
  <c r="B4" i="3"/>
  <c r="O27" i="2"/>
  <c r="N27" i="2"/>
  <c r="M27" i="2"/>
  <c r="L27" i="2"/>
  <c r="K27" i="2"/>
  <c r="O26" i="2"/>
  <c r="N26" i="2"/>
  <c r="M26" i="2"/>
  <c r="L26" i="2"/>
  <c r="K26" i="2"/>
  <c r="O25" i="2"/>
  <c r="N25" i="2"/>
  <c r="M25" i="2"/>
  <c r="L25" i="2"/>
  <c r="K25" i="2"/>
  <c r="O24" i="2"/>
  <c r="N24" i="2"/>
  <c r="M24" i="2"/>
  <c r="L24" i="2"/>
  <c r="K24" i="2"/>
  <c r="O23" i="2"/>
  <c r="N23" i="2"/>
  <c r="M23" i="2"/>
  <c r="L23" i="2"/>
  <c r="K23" i="2"/>
  <c r="O22" i="2"/>
  <c r="N22" i="2"/>
  <c r="M22" i="2"/>
  <c r="L22" i="2"/>
  <c r="K22" i="2"/>
  <c r="O21" i="2"/>
  <c r="N21" i="2"/>
  <c r="M21" i="2"/>
  <c r="L21" i="2"/>
  <c r="K21" i="2"/>
  <c r="O20" i="2"/>
  <c r="N20" i="2"/>
  <c r="M20" i="2"/>
  <c r="L20" i="2"/>
  <c r="K20" i="2"/>
  <c r="O19" i="2"/>
  <c r="N19" i="2"/>
  <c r="M19" i="2"/>
  <c r="L19" i="2"/>
  <c r="K19" i="2"/>
  <c r="O18" i="2"/>
  <c r="N18" i="2"/>
  <c r="M18" i="2"/>
  <c r="L18" i="2"/>
  <c r="K18" i="2"/>
  <c r="O17" i="2"/>
  <c r="N17" i="2"/>
  <c r="M17" i="2"/>
  <c r="L17" i="2"/>
  <c r="K17" i="2"/>
  <c r="O16" i="2"/>
  <c r="N16" i="2"/>
  <c r="M16" i="2"/>
  <c r="L16" i="2"/>
  <c r="K16" i="2"/>
  <c r="O15" i="2"/>
  <c r="N15" i="2"/>
  <c r="M15" i="2"/>
  <c r="L15" i="2"/>
  <c r="K15" i="2"/>
  <c r="O14" i="2"/>
  <c r="N14" i="2"/>
  <c r="M14" i="2"/>
  <c r="L14" i="2"/>
  <c r="K14" i="2"/>
  <c r="O13" i="2"/>
  <c r="N13" i="2"/>
  <c r="M13" i="2"/>
  <c r="L13" i="2"/>
  <c r="K13" i="2"/>
  <c r="O12" i="2"/>
  <c r="N12" i="2"/>
  <c r="M12" i="2"/>
  <c r="L12" i="2"/>
  <c r="K12" i="2"/>
  <c r="O11" i="2"/>
  <c r="N11" i="2"/>
  <c r="M11" i="2"/>
  <c r="L11" i="2"/>
  <c r="K11" i="2"/>
  <c r="O10" i="2"/>
  <c r="N10" i="2"/>
  <c r="M10" i="2"/>
  <c r="L10" i="2"/>
  <c r="K10" i="2"/>
  <c r="O9" i="2"/>
  <c r="N9" i="2"/>
  <c r="M9" i="2"/>
  <c r="L9" i="2"/>
  <c r="K9" i="2"/>
  <c r="O8" i="2"/>
  <c r="N8" i="2"/>
  <c r="M8" i="2"/>
  <c r="L8" i="2"/>
  <c r="K8" i="2"/>
  <c r="O7" i="2"/>
  <c r="N7" i="2"/>
  <c r="M7" i="2"/>
  <c r="L7" i="2"/>
  <c r="K7" i="2"/>
  <c r="O6" i="2"/>
  <c r="N6" i="2"/>
  <c r="M6" i="2"/>
  <c r="L6" i="2"/>
  <c r="K6" i="2"/>
  <c r="O5" i="2"/>
  <c r="N5" i="2"/>
  <c r="M5" i="2"/>
  <c r="L5" i="2"/>
  <c r="K5" i="2"/>
  <c r="O4" i="2"/>
  <c r="N4" i="2"/>
  <c r="M4" i="2"/>
  <c r="N4" i="3" s="1"/>
  <c r="L4" i="2"/>
  <c r="K4" i="2"/>
  <c r="B18" i="1"/>
  <c r="B17" i="1"/>
  <c r="B19" i="1" s="1"/>
  <c r="N5" i="3" l="1"/>
  <c r="O5" i="3" s="1"/>
  <c r="O4" i="3"/>
  <c r="C15" i="3"/>
  <c r="D15" i="3" s="1"/>
  <c r="I8" i="3"/>
  <c r="I9" i="3" s="1"/>
  <c r="N6" i="3" l="1"/>
  <c r="O6" i="3" s="1"/>
</calcChain>
</file>

<file path=xl/sharedStrings.xml><?xml version="1.0" encoding="utf-8"?>
<sst xmlns="http://schemas.openxmlformats.org/spreadsheetml/2006/main" count="122" uniqueCount="87">
  <si>
    <t>Параметры семейного бюджета</t>
  </si>
  <si>
    <t>Параметр</t>
  </si>
  <si>
    <t>Значение</t>
  </si>
  <si>
    <t>Срок / день</t>
  </si>
  <si>
    <t>Источник</t>
  </si>
  <si>
    <t>Зарплата 1 — часть 1</t>
  </si>
  <si>
    <t>5 число</t>
  </si>
  <si>
    <t>Данные пользователя</t>
  </si>
  <si>
    <t>Зарплата 2 — часть 2</t>
  </si>
  <si>
    <t>10 число</t>
  </si>
  <si>
    <t>Зарплата 1 — часть 2</t>
  </si>
  <si>
    <t>20 число</t>
  </si>
  <si>
    <t>Зарплата 2 — часть 1</t>
  </si>
  <si>
    <t>25 число</t>
  </si>
  <si>
    <t>Ипотека</t>
  </si>
  <si>
    <t>18 число</t>
  </si>
  <si>
    <t>Коммунальные услуги</t>
  </si>
  <si>
    <t>14 число</t>
  </si>
  <si>
    <t>Еда</t>
  </si>
  <si>
    <t>в месяц</t>
  </si>
  <si>
    <t>Билеты в отпуск</t>
  </si>
  <si>
    <t>до 01.02.2027</t>
  </si>
  <si>
    <t>Сам отпуск</t>
  </si>
  <si>
    <t>до 01.04.2027</t>
  </si>
  <si>
    <t>Важно: 35 000 ₽, полученные 5 октября 2026 года, считаются полностью доступными и включены в план. Они не добавляются второй раз как отдельный стартовый остаток.</t>
  </si>
  <si>
    <t>Расчёт</t>
  </si>
  <si>
    <t>Сумма</t>
  </si>
  <si>
    <t>Доход в месяц</t>
  </si>
  <si>
    <t>Обязательные расходы в месяц</t>
  </si>
  <si>
    <t>Свободно до накоплений</t>
  </si>
  <si>
    <t>Сколько откладывать с каждого поступления + трекер выполнения</t>
  </si>
  <si>
    <t>Дата</t>
  </si>
  <si>
    <t>Поступление</t>
  </si>
  <si>
    <t>На ипотеку</t>
  </si>
  <si>
    <t>На ЖКУ</t>
  </si>
  <si>
    <t>На еду</t>
  </si>
  <si>
    <t>На билеты</t>
  </si>
  <si>
    <t>На отпуск</t>
  </si>
  <si>
    <t>Свободный резерв</t>
  </si>
  <si>
    <t>Комментарий</t>
  </si>
  <si>
    <t>Статус</t>
  </si>
  <si>
    <t>План отложить</t>
  </si>
  <si>
    <t>Факт отложено</t>
  </si>
  <si>
    <t>Факт на билеты</t>
  </si>
  <si>
    <t>Факт на отпуск</t>
  </si>
  <si>
    <t>Выполнение</t>
  </si>
  <si>
    <t>Уже получено и полностью осталось; распределить сейчас</t>
  </si>
  <si>
    <t>После этого к 14-му ЖКУ и к 18-му ипотека полностью собраны</t>
  </si>
  <si>
    <t>Основное накопление после обязательных платежей</t>
  </si>
  <si>
    <t>Закрыть месячный лимит на еду и накопления</t>
  </si>
  <si>
    <t>Сразу зарезервировать ЖКУ и часть ипотеки</t>
  </si>
  <si>
    <t>Сводка бюджета и контроль целей</t>
  </si>
  <si>
    <t>Прогресс накоплений</t>
  </si>
  <si>
    <t>Месяц</t>
  </si>
  <si>
    <t>Доход</t>
  </si>
  <si>
    <t>ЖКУ</t>
  </si>
  <si>
    <t>Билеты</t>
  </si>
  <si>
    <t>Отпуск</t>
  </si>
  <si>
    <t>Накоплено на билеты</t>
  </si>
  <si>
    <t>Накоплено на отпуск</t>
  </si>
  <si>
    <t>Цель</t>
  </si>
  <si>
    <t>План</t>
  </si>
  <si>
    <t>Фактически</t>
  </si>
  <si>
    <t>Прогресс</t>
  </si>
  <si>
    <t>Октябрь 2026</t>
  </si>
  <si>
    <t>Ноябрь 2026</t>
  </si>
  <si>
    <t>Декабрь 2026</t>
  </si>
  <si>
    <t>Всего</t>
  </si>
  <si>
    <t>Январь 2027</t>
  </si>
  <si>
    <t>Февраль 2027</t>
  </si>
  <si>
    <t>Март 2027</t>
  </si>
  <si>
    <t>Выполнение плана по датам</t>
  </si>
  <si>
    <t>Отмечено «Отложил»</t>
  </si>
  <si>
    <t>Всего поступлений</t>
  </si>
  <si>
    <t>Контроль</t>
  </si>
  <si>
    <t>Факт</t>
  </si>
  <si>
    <t>Итог по плану</t>
  </si>
  <si>
    <t>ЖКУ к 14 числу</t>
  </si>
  <si>
    <t>Билеты: 100 000 ₽ будут собраны к 25 января 2027 г.</t>
  </si>
  <si>
    <t>Как пользоваться: на листе «План по датам» в колонке «Статус» выбирайте «Отложил» после того, как распределили деньги. Шкалы прогресса обновятся автоматически.</t>
  </si>
  <si>
    <t>Ипотека к 18 числу</t>
  </si>
  <si>
    <t>Отпуск: 100 000 ₽ будут собраны к 25 марта 2027 г.</t>
  </si>
  <si>
    <t>Билеты к 01.02.2027</t>
  </si>
  <si>
    <t>С октября по январь свободный резерв: 35 000 ₽ в месяц.</t>
  </si>
  <si>
    <t>Отпуск к 01.04.2027</t>
  </si>
  <si>
    <t>В феврале и марте свободный резерв: 61 000 ₽ в месяц.</t>
  </si>
  <si>
    <t>Отложил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</si>
</sst>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₽&quot;;[Red]\(#,##0&quot; ₽&quot;\);\-"/>
    <numFmt numFmtId="165" formatCode="dd\.mm\.yyyy"/>
  </numFmts>
  <fonts count="10">
    <font>
      <sz val="11"/>
      <name val="Carlito"/>
    </font>
    <font>
      <b/>
      <sz val="16"/>
      <color rgb="FFFFFFFF"/>
      <name val="Calibri"/>
    </font>
    <font>
      <sz val="11"/>
      <name val="Calibri"/>
    </font>
    <font>
      <b/>
      <sz val="11"/>
      <color rgb="FFFFFFFF"/>
      <name val="Calibri"/>
    </font>
    <font>
      <sz val="11"/>
      <color rgb="FF0000FF"/>
      <name val="Calibri"/>
    </font>
    <font>
      <i/>
      <sz val="11"/>
      <color rgb="FF7C4A03"/>
      <name val="Calibri"/>
    </font>
    <font>
      <b/>
      <sz val="11"/>
      <color rgb="FF000000"/>
      <name val="Calibri"/>
    </font>
    <font>
      <b/>
      <sz val="14"/>
      <color rgb="FFFFFFFF"/>
      <name val="Calibri"/>
    </font>
    <font>
      <b/>
      <sz val="11"/>
      <color rgb="FF17365D"/>
      <name val="Calibri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4DB"/>
      </patternFill>
    </fill>
    <fill>
      <patternFill patternType="solid">
        <fgColor rgb="FFFFF8E8"/>
      </patternFill>
    </fill>
    <fill>
      <patternFill patternType="solid">
        <fgColor rgb="FFEEF7EE"/>
      </patternFill>
    </fill>
    <fill>
      <patternFill patternType="solid">
        <fgColor rgb="FFEEF4FB"/>
      </patternFill>
    </fill>
    <fill>
      <patternFill patternType="solid">
        <fgColor rgb="FFFFF1CC"/>
      </patternFill>
    </fill>
    <fill>
      <patternFill patternType="solid">
        <fgColor rgb="FFEAF7EE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FFF4DB"/>
      </patternFill>
    </fill>
  </fills>
  <borders count="17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/>
      <bottom/>
      <diagonal/>
    </border>
    <border>
      <left/>
      <right style="thin">
        <color rgb="FFE5E7EB"/>
      </right>
      <top/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</borders>
  <cellStyleXfs count="2">
    <xf numFmtId="0" fontId="0" fillId="0" borderId="0"/>
    <xf numFmtId="0" fontId="9" fillId="0" borderId="0"/>
  </cellStyleXfs>
  <cellXfs count="78">
    <xf numFmtId="0" fontId="0" fillId="0" borderId="0" xfId="0"/>
    <xf numFmtId="0" fontId="2" fillId="0" borderId="0" xfId="1" applyFont="1"/>
    <xf numFmtId="0" fontId="3" fillId="2" borderId="0" xfId="1" applyFont="1" applyFill="1" applyAlignment="1">
      <alignment horizontal="center" vertical="center"/>
    </xf>
    <xf numFmtId="0" fontId="2" fillId="0" borderId="1" xfId="1" applyFont="1" applyBorder="1" applyAlignment="1">
      <alignment wrapText="1"/>
    </xf>
    <xf numFmtId="164" fontId="4" fillId="0" borderId="2" xfId="1" applyNumberFormat="1" applyFont="1" applyBorder="1" applyAlignment="1">
      <alignment wrapText="1"/>
    </xf>
    <xf numFmtId="0" fontId="4" fillId="0" borderId="2" xfId="1" applyFont="1" applyBorder="1" applyAlignment="1">
      <alignment wrapText="1"/>
    </xf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wrapText="1"/>
    </xf>
    <xf numFmtId="164" fontId="4" fillId="0" borderId="0" xfId="1" applyNumberFormat="1" applyFont="1" applyAlignment="1">
      <alignment wrapText="1"/>
    </xf>
    <xf numFmtId="0" fontId="4" fillId="0" borderId="0" xfId="1" applyFont="1" applyAlignment="1">
      <alignment wrapText="1"/>
    </xf>
    <xf numFmtId="0" fontId="2" fillId="0" borderId="5" xfId="1" applyFont="1" applyBorder="1" applyAlignment="1">
      <alignment wrapText="1"/>
    </xf>
    <xf numFmtId="0" fontId="2" fillId="0" borderId="6" xfId="1" applyFont="1" applyBorder="1" applyAlignment="1">
      <alignment wrapText="1"/>
    </xf>
    <xf numFmtId="164" fontId="4" fillId="0" borderId="7" xfId="1" applyNumberFormat="1" applyFont="1" applyBorder="1" applyAlignment="1">
      <alignment wrapText="1"/>
    </xf>
    <xf numFmtId="0" fontId="4" fillId="0" borderId="7" xfId="1" applyFont="1" applyBorder="1" applyAlignment="1">
      <alignment wrapText="1"/>
    </xf>
    <xf numFmtId="0" fontId="2" fillId="0" borderId="8" xfId="1" applyFont="1" applyBorder="1" applyAlignment="1">
      <alignment wrapText="1"/>
    </xf>
    <xf numFmtId="0" fontId="3" fillId="2" borderId="1" xfId="1" applyFont="1" applyFill="1" applyBorder="1"/>
    <xf numFmtId="0" fontId="3" fillId="2" borderId="3" xfId="1" applyFont="1" applyFill="1" applyBorder="1"/>
    <xf numFmtId="0" fontId="2" fillId="0" borderId="4" xfId="1" applyFont="1" applyBorder="1"/>
    <xf numFmtId="164" fontId="2" fillId="0" borderId="5" xfId="1" applyNumberFormat="1" applyFont="1" applyBorder="1"/>
    <xf numFmtId="0" fontId="2" fillId="0" borderId="6" xfId="1" applyFont="1" applyBorder="1"/>
    <xf numFmtId="164" fontId="2" fillId="0" borderId="8" xfId="1" applyNumberFormat="1" applyFont="1" applyBorder="1"/>
    <xf numFmtId="0" fontId="3" fillId="2" borderId="0" xfId="1" applyFont="1" applyFill="1" applyAlignment="1">
      <alignment horizontal="center" vertical="center" wrapText="1"/>
    </xf>
    <xf numFmtId="165" fontId="6" fillId="7" borderId="9" xfId="1" applyNumberFormat="1" applyFont="1" applyFill="1" applyBorder="1"/>
    <xf numFmtId="164" fontId="6" fillId="7" borderId="10" xfId="1" applyNumberFormat="1" applyFont="1" applyFill="1" applyBorder="1"/>
    <xf numFmtId="0" fontId="6" fillId="7" borderId="11" xfId="1" applyFont="1" applyFill="1" applyBorder="1" applyAlignment="1">
      <alignment wrapText="1"/>
    </xf>
    <xf numFmtId="165" fontId="2" fillId="0" borderId="12" xfId="1" applyNumberFormat="1" applyFont="1" applyBorder="1"/>
    <xf numFmtId="164" fontId="2" fillId="0" borderId="0" xfId="1" applyNumberFormat="1" applyFont="1"/>
    <xf numFmtId="164" fontId="2" fillId="6" borderId="0" xfId="1" applyNumberFormat="1" applyFont="1" applyFill="1"/>
    <xf numFmtId="164" fontId="2" fillId="4" borderId="0" xfId="1" applyNumberFormat="1" applyFont="1" applyFill="1"/>
    <xf numFmtId="164" fontId="2" fillId="5" borderId="0" xfId="1" applyNumberFormat="1" applyFont="1" applyFill="1"/>
    <xf numFmtId="0" fontId="2" fillId="0" borderId="13" xfId="1" applyFont="1" applyBorder="1" applyAlignment="1">
      <alignment wrapText="1"/>
    </xf>
    <xf numFmtId="165" fontId="2" fillId="0" borderId="14" xfId="1" applyNumberFormat="1" applyFont="1" applyBorder="1"/>
    <xf numFmtId="164" fontId="2" fillId="0" borderId="15" xfId="1" applyNumberFormat="1" applyFont="1" applyBorder="1"/>
    <xf numFmtId="164" fontId="2" fillId="6" borderId="15" xfId="1" applyNumberFormat="1" applyFont="1" applyFill="1" applyBorder="1"/>
    <xf numFmtId="164" fontId="2" fillId="4" borderId="15" xfId="1" applyNumberFormat="1" applyFont="1" applyFill="1" applyBorder="1"/>
    <xf numFmtId="164" fontId="2" fillId="5" borderId="15" xfId="1" applyNumberFormat="1" applyFont="1" applyFill="1" applyBorder="1"/>
    <xf numFmtId="0" fontId="2" fillId="0" borderId="16" xfId="1" applyFont="1" applyBorder="1" applyAlignment="1">
      <alignment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164" fontId="2" fillId="0" borderId="0" xfId="1" applyNumberFormat="1" applyFont="1" applyAlignment="1">
      <alignment wrapText="1"/>
    </xf>
    <xf numFmtId="164" fontId="2" fillId="4" borderId="0" xfId="1" applyNumberFormat="1" applyFont="1" applyFill="1" applyAlignment="1">
      <alignment wrapText="1"/>
    </xf>
    <xf numFmtId="164" fontId="2" fillId="4" borderId="5" xfId="1" applyNumberFormat="1" applyFont="1" applyFill="1" applyBorder="1" applyAlignment="1">
      <alignment wrapText="1"/>
    </xf>
    <xf numFmtId="164" fontId="2" fillId="0" borderId="7" xfId="1" applyNumberFormat="1" applyFont="1" applyBorder="1" applyAlignment="1">
      <alignment wrapText="1"/>
    </xf>
    <xf numFmtId="164" fontId="2" fillId="4" borderId="7" xfId="1" applyNumberFormat="1" applyFont="1" applyFill="1" applyBorder="1" applyAlignment="1">
      <alignment wrapText="1"/>
    </xf>
    <xf numFmtId="164" fontId="2" fillId="4" borderId="8" xfId="1" applyNumberFormat="1" applyFont="1" applyFill="1" applyBorder="1" applyAlignment="1">
      <alignment wrapText="1"/>
    </xf>
    <xf numFmtId="0" fontId="2" fillId="0" borderId="0" xfId="1" applyFont="1" applyAlignment="1">
      <alignment wrapText="1"/>
    </xf>
    <xf numFmtId="0" fontId="3" fillId="2" borderId="1" xfId="1" applyFont="1" applyFill="1" applyBorder="1" applyAlignment="1">
      <alignment wrapText="1"/>
    </xf>
    <xf numFmtId="0" fontId="3" fillId="2" borderId="2" xfId="1" applyFont="1" applyFill="1" applyBorder="1" applyAlignment="1">
      <alignment wrapText="1"/>
    </xf>
    <xf numFmtId="0" fontId="3" fillId="2" borderId="3" xfId="1" applyFont="1" applyFill="1" applyBorder="1" applyAlignment="1">
      <alignment wrapText="1"/>
    </xf>
    <xf numFmtId="0" fontId="3" fillId="9" borderId="0" xfId="1" applyFont="1" applyFill="1" applyAlignment="1">
      <alignment horizontal="center" vertical="center" wrapText="1"/>
    </xf>
    <xf numFmtId="164" fontId="2" fillId="0" borderId="10" xfId="1" applyNumberFormat="1" applyFont="1" applyBorder="1"/>
    <xf numFmtId="164" fontId="2" fillId="0" borderId="0" xfId="1" applyNumberFormat="1" applyFont="1"/>
    <xf numFmtId="0" fontId="2" fillId="0" borderId="9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9" fontId="2" fillId="0" borderId="11" xfId="1" applyNumberFormat="1" applyFont="1" applyBorder="1" applyAlignment="1">
      <alignment horizontal="center"/>
    </xf>
    <xf numFmtId="9" fontId="2" fillId="0" borderId="13" xfId="1" applyNumberFormat="1" applyFont="1" applyBorder="1" applyAlignment="1">
      <alignment horizontal="center"/>
    </xf>
    <xf numFmtId="9" fontId="2" fillId="0" borderId="16" xfId="1" applyNumberFormat="1" applyFont="1" applyBorder="1" applyAlignment="1">
      <alignment horizontal="center"/>
    </xf>
    <xf numFmtId="0" fontId="3" fillId="9" borderId="1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3" xfId="1" applyFont="1" applyFill="1" applyBorder="1" applyAlignment="1">
      <alignment horizontal="center" vertical="center"/>
    </xf>
    <xf numFmtId="9" fontId="2" fillId="0" borderId="5" xfId="1" applyNumberFormat="1" applyFont="1" applyBorder="1"/>
    <xf numFmtId="164" fontId="2" fillId="0" borderId="7" xfId="1" applyNumberFormat="1" applyFont="1" applyBorder="1"/>
    <xf numFmtId="9" fontId="2" fillId="0" borderId="8" xfId="1" applyNumberFormat="1" applyFont="1" applyBorder="1"/>
    <xf numFmtId="0" fontId="8" fillId="10" borderId="1" xfId="1" applyFont="1" applyFill="1" applyBorder="1" applyAlignment="1">
      <alignment horizontal="center" wrapText="1"/>
    </xf>
    <xf numFmtId="0" fontId="8" fillId="10" borderId="2" xfId="1" applyFont="1" applyFill="1" applyBorder="1" applyAlignment="1">
      <alignment horizontal="center" wrapText="1"/>
    </xf>
    <xf numFmtId="0" fontId="8" fillId="10" borderId="3" xfId="1" applyFont="1" applyFill="1" applyBorder="1" applyAlignment="1">
      <alignment horizontal="center" wrapText="1"/>
    </xf>
    <xf numFmtId="0" fontId="2" fillId="0" borderId="7" xfId="1" applyFont="1" applyBorder="1"/>
    <xf numFmtId="0" fontId="1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vertical="center" wrapText="1"/>
    </xf>
    <xf numFmtId="0" fontId="1" fillId="9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 wrapText="1"/>
    </xf>
    <xf numFmtId="0" fontId="2" fillId="8" borderId="0" xfId="1" applyFont="1" applyFill="1" applyAlignment="1">
      <alignment vertical="center" wrapText="1"/>
    </xf>
    <xf numFmtId="0" fontId="7" fillId="9" borderId="0" xfId="1" applyFont="1" applyFill="1" applyAlignment="1">
      <alignment horizontal="center" vertical="center"/>
    </xf>
    <xf numFmtId="0" fontId="3" fillId="9" borderId="0" xfId="1" applyFont="1" applyFill="1" applyAlignment="1">
      <alignment horizontal="center"/>
    </xf>
    <xf numFmtId="0" fontId="5" fillId="11" borderId="0" xfId="1" applyFont="1" applyFill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4"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Накопления к целям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Доход</c:v>
          </c:tx>
          <c:marker>
            <c:symbol val="none"/>
          </c:marker>
          <c:cat>
            <c:strRef>
              <c:f>Сводка!$A$4:$A$9</c:f>
              <c:strCache>
                <c:ptCount val="6"/>
                <c:pt idx="0">
                  <c:v>Октябрь 2026</c:v>
                </c:pt>
                <c:pt idx="1">
                  <c:v>Ноябрь 2026</c:v>
                </c:pt>
                <c:pt idx="2">
                  <c:v>Декабрь 2026</c:v>
                </c:pt>
                <c:pt idx="3">
                  <c:v>Январь 2027</c:v>
                </c:pt>
                <c:pt idx="4">
                  <c:v>Февраль 2027</c:v>
                </c:pt>
                <c:pt idx="5">
                  <c:v>Март 2027</c:v>
                </c:pt>
              </c:strCache>
            </c:strRef>
          </c:cat>
          <c:val>
            <c:numRef>
              <c:f>Сводка!$B$4:$B$9</c:f>
              <c:numCache>
                <c:formatCode>#\ ##0" ₽";[Red]\(#\ ##0" ₽"\);\-</c:formatCode>
                <c:ptCount val="6"/>
                <c:pt idx="0">
                  <c:v>160000</c:v>
                </c:pt>
                <c:pt idx="1">
                  <c:v>160000</c:v>
                </c:pt>
                <c:pt idx="2">
                  <c:v>160000</c:v>
                </c:pt>
                <c:pt idx="3">
                  <c:v>160000</c:v>
                </c:pt>
                <c:pt idx="4">
                  <c:v>160000</c:v>
                </c:pt>
                <c:pt idx="5">
                  <c:v>160000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A2-4E46-87F0-DF5C1CAB1B90}"/>
            </c:ext>
          </c:extLst>
        </c:ser>
        <c:ser>
          <c:idx val="1"/>
          <c:order val="1"/>
          <c:tx>
            <c:v>Ипотека</c:v>
          </c:tx>
          <c:marker>
            <c:symbol val="none"/>
          </c:marker>
          <c:cat>
            <c:strRef>
              <c:f>Сводка!$A$4:$A$9</c:f>
              <c:strCache>
                <c:ptCount val="6"/>
                <c:pt idx="0">
                  <c:v>Октябрь 2026</c:v>
                </c:pt>
                <c:pt idx="1">
                  <c:v>Ноябрь 2026</c:v>
                </c:pt>
                <c:pt idx="2">
                  <c:v>Декабрь 2026</c:v>
                </c:pt>
                <c:pt idx="3">
                  <c:v>Январь 2027</c:v>
                </c:pt>
                <c:pt idx="4">
                  <c:v>Февраль 2027</c:v>
                </c:pt>
                <c:pt idx="5">
                  <c:v>Март 2027</c:v>
                </c:pt>
              </c:strCache>
            </c:strRef>
          </c:cat>
          <c:val>
            <c:numRef>
              <c:f>Сводка!$C$4:$C$9</c:f>
              <c:numCache>
                <c:formatCode>#\ ##0" ₽";[Red]\(#\ ##0" ₽"\);\-</c:formatCode>
                <c:ptCount val="6"/>
                <c:pt idx="0">
                  <c:v>45000</c:v>
                </c:pt>
                <c:pt idx="1">
                  <c:v>45000</c:v>
                </c:pt>
                <c:pt idx="2">
                  <c:v>45000</c:v>
                </c:pt>
                <c:pt idx="3">
                  <c:v>45000</c:v>
                </c:pt>
                <c:pt idx="4">
                  <c:v>45000</c:v>
                </c:pt>
                <c:pt idx="5">
                  <c:v>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A2-4E46-87F0-DF5C1CAB1B90}"/>
            </c:ext>
          </c:extLst>
        </c:ser>
        <c:ser>
          <c:idx val="2"/>
          <c:order val="2"/>
          <c:tx>
            <c:v>ЖКУ</c:v>
          </c:tx>
          <c:marker>
            <c:symbol val="none"/>
          </c:marker>
          <c:cat>
            <c:strRef>
              <c:f>Сводка!$A$4:$A$9</c:f>
              <c:strCache>
                <c:ptCount val="6"/>
                <c:pt idx="0">
                  <c:v>Октябрь 2026</c:v>
                </c:pt>
                <c:pt idx="1">
                  <c:v>Ноябрь 2026</c:v>
                </c:pt>
                <c:pt idx="2">
                  <c:v>Декабрь 2026</c:v>
                </c:pt>
                <c:pt idx="3">
                  <c:v>Январь 2027</c:v>
                </c:pt>
                <c:pt idx="4">
                  <c:v>Февраль 2027</c:v>
                </c:pt>
                <c:pt idx="5">
                  <c:v>Март 2027</c:v>
                </c:pt>
              </c:strCache>
            </c:strRef>
          </c:cat>
          <c:val>
            <c:numRef>
              <c:f>Сводка!$D$4:$D$9</c:f>
              <c:numCache>
                <c:formatCode>#\ ##0" ₽";[Red]\(#\ ##0" ₽"\);\-</c:formatCode>
                <c:ptCount val="6"/>
                <c:pt idx="0">
                  <c:v>8000</c:v>
                </c:pt>
                <c:pt idx="1">
                  <c:v>8000</c:v>
                </c:pt>
                <c:pt idx="2">
                  <c:v>8000</c:v>
                </c:pt>
                <c:pt idx="3">
                  <c:v>8000</c:v>
                </c:pt>
                <c:pt idx="4">
                  <c:v>8000</c:v>
                </c:pt>
                <c:pt idx="5">
                  <c:v>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A2-4E46-87F0-DF5C1CAB1B90}"/>
            </c:ext>
          </c:extLst>
        </c:ser>
        <c:ser>
          <c:idx val="3"/>
          <c:order val="3"/>
          <c:tx>
            <c:v>Еда</c:v>
          </c:tx>
          <c:marker>
            <c:symbol val="none"/>
          </c:marker>
          <c:cat>
            <c:strRef>
              <c:f>Сводка!$A$4:$A$9</c:f>
              <c:strCache>
                <c:ptCount val="6"/>
                <c:pt idx="0">
                  <c:v>Октябрь 2026</c:v>
                </c:pt>
                <c:pt idx="1">
                  <c:v>Ноябрь 2026</c:v>
                </c:pt>
                <c:pt idx="2">
                  <c:v>Декабрь 2026</c:v>
                </c:pt>
                <c:pt idx="3">
                  <c:v>Январь 2027</c:v>
                </c:pt>
                <c:pt idx="4">
                  <c:v>Февраль 2027</c:v>
                </c:pt>
                <c:pt idx="5">
                  <c:v>Март 2027</c:v>
                </c:pt>
              </c:strCache>
            </c:strRef>
          </c:cat>
          <c:val>
            <c:numRef>
              <c:f>Сводка!$E$4:$E$9</c:f>
              <c:numCache>
                <c:formatCode>#\ ##0" ₽";[Red]\(#\ ##0" ₽"\);\-</c:formatCode>
                <c:ptCount val="6"/>
                <c:pt idx="0">
                  <c:v>30000</c:v>
                </c:pt>
                <c:pt idx="1">
                  <c:v>30000</c:v>
                </c:pt>
                <c:pt idx="2">
                  <c:v>30000</c:v>
                </c:pt>
                <c:pt idx="3">
                  <c:v>30000</c:v>
                </c:pt>
                <c:pt idx="4">
                  <c:v>30000</c:v>
                </c:pt>
                <c:pt idx="5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A2-4E46-87F0-DF5C1CAB1B90}"/>
            </c:ext>
          </c:extLst>
        </c:ser>
        <c:ser>
          <c:idx val="4"/>
          <c:order val="4"/>
          <c:tx>
            <c:v>Билеты</c:v>
          </c:tx>
          <c:marker>
            <c:symbol val="none"/>
          </c:marker>
          <c:cat>
            <c:strRef>
              <c:f>Сводка!$A$4:$A$9</c:f>
              <c:strCache>
                <c:ptCount val="6"/>
                <c:pt idx="0">
                  <c:v>Октябрь 2026</c:v>
                </c:pt>
                <c:pt idx="1">
                  <c:v>Ноябрь 2026</c:v>
                </c:pt>
                <c:pt idx="2">
                  <c:v>Декабрь 2026</c:v>
                </c:pt>
                <c:pt idx="3">
                  <c:v>Январь 2027</c:v>
                </c:pt>
                <c:pt idx="4">
                  <c:v>Февраль 2027</c:v>
                </c:pt>
                <c:pt idx="5">
                  <c:v>Март 2027</c:v>
                </c:pt>
              </c:strCache>
            </c:strRef>
          </c:cat>
          <c:val>
            <c:numRef>
              <c:f>Сводка!$F$4:$F$9</c:f>
              <c:numCache>
                <c:formatCode>#\ ##0" ₽";[Red]\(#\ ##0" ₽"\);\-</c:formatCode>
                <c:ptCount val="6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25000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A2-4E46-87F0-DF5C1CAB1B90}"/>
            </c:ext>
          </c:extLst>
        </c:ser>
        <c:ser>
          <c:idx val="5"/>
          <c:order val="5"/>
          <c:tx>
            <c:v>Отпуск</c:v>
          </c:tx>
          <c:marker>
            <c:symbol val="none"/>
          </c:marker>
          <c:cat>
            <c:strRef>
              <c:f>Сводка!$A$4:$A$9</c:f>
              <c:strCache>
                <c:ptCount val="6"/>
                <c:pt idx="0">
                  <c:v>Октябрь 2026</c:v>
                </c:pt>
                <c:pt idx="1">
                  <c:v>Ноябрь 2026</c:v>
                </c:pt>
                <c:pt idx="2">
                  <c:v>Декабрь 2026</c:v>
                </c:pt>
                <c:pt idx="3">
                  <c:v>Январь 2027</c:v>
                </c:pt>
                <c:pt idx="4">
                  <c:v>Февраль 2027</c:v>
                </c:pt>
                <c:pt idx="5">
                  <c:v>Март 2027</c:v>
                </c:pt>
              </c:strCache>
            </c:strRef>
          </c:cat>
          <c:val>
            <c:numRef>
              <c:f>Сводка!$G$4:$G$9</c:f>
              <c:numCache>
                <c:formatCode>#\ ##0" ₽";[Red]\(#\ ##0" ₽"\);\-</c:formatCode>
                <c:ptCount val="6"/>
                <c:pt idx="0">
                  <c:v>17000</c:v>
                </c:pt>
                <c:pt idx="1">
                  <c:v>17000</c:v>
                </c:pt>
                <c:pt idx="2">
                  <c:v>17000</c:v>
                </c:pt>
                <c:pt idx="3">
                  <c:v>17000</c:v>
                </c:pt>
                <c:pt idx="4">
                  <c:v>16000</c:v>
                </c:pt>
                <c:pt idx="5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A2-4E46-87F0-DF5C1CAB1B90}"/>
            </c:ext>
          </c:extLst>
        </c:ser>
        <c:ser>
          <c:idx val="6"/>
          <c:order val="6"/>
          <c:tx>
            <c:v>Свободный резерв</c:v>
          </c:tx>
          <c:marker>
            <c:symbol val="none"/>
          </c:marker>
          <c:cat>
            <c:strRef>
              <c:f>Сводка!$A$4:$A$9</c:f>
              <c:strCache>
                <c:ptCount val="6"/>
                <c:pt idx="0">
                  <c:v>Октябрь 2026</c:v>
                </c:pt>
                <c:pt idx="1">
                  <c:v>Ноябрь 2026</c:v>
                </c:pt>
                <c:pt idx="2">
                  <c:v>Декабрь 2026</c:v>
                </c:pt>
                <c:pt idx="3">
                  <c:v>Январь 2027</c:v>
                </c:pt>
                <c:pt idx="4">
                  <c:v>Февраль 2027</c:v>
                </c:pt>
                <c:pt idx="5">
                  <c:v>Март 2027</c:v>
                </c:pt>
              </c:strCache>
            </c:strRef>
          </c:cat>
          <c:val>
            <c:numRef>
              <c:f>Сводка!$H$4:$H$9</c:f>
              <c:numCache>
                <c:formatCode>#\ ##0" ₽";[Red]\(#\ ##0" ₽"\);\-</c:formatCode>
                <c:ptCount val="6"/>
                <c:pt idx="0">
                  <c:v>35000</c:v>
                </c:pt>
                <c:pt idx="1">
                  <c:v>35000</c:v>
                </c:pt>
                <c:pt idx="2">
                  <c:v>35000</c:v>
                </c:pt>
                <c:pt idx="3">
                  <c:v>35000</c:v>
                </c:pt>
                <c:pt idx="4">
                  <c:v>61000</c:v>
                </c:pt>
                <c:pt idx="5">
                  <c:v>61000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A2-4E46-87F0-DF5C1CAB1B90}"/>
            </c:ext>
          </c:extLst>
        </c:ser>
        <c:ser>
          <c:idx val="7"/>
          <c:order val="7"/>
          <c:tx>
            <c:v>Накоплено на билеты</c:v>
          </c:tx>
          <c:marker>
            <c:symbol val="none"/>
          </c:marker>
          <c:cat>
            <c:strRef>
              <c:f>Сводка!$A$4:$A$9</c:f>
              <c:strCache>
                <c:ptCount val="6"/>
                <c:pt idx="0">
                  <c:v>Октябрь 2026</c:v>
                </c:pt>
                <c:pt idx="1">
                  <c:v>Ноябрь 2026</c:v>
                </c:pt>
                <c:pt idx="2">
                  <c:v>Декабрь 2026</c:v>
                </c:pt>
                <c:pt idx="3">
                  <c:v>Январь 2027</c:v>
                </c:pt>
                <c:pt idx="4">
                  <c:v>Февраль 2027</c:v>
                </c:pt>
                <c:pt idx="5">
                  <c:v>Март 2027</c:v>
                </c:pt>
              </c:strCache>
            </c:strRef>
          </c:cat>
          <c:val>
            <c:numRef>
              <c:f>Сводка!$I$4:$I$9</c:f>
              <c:numCache>
                <c:formatCode>#\ ##0" ₽";[Red]\(#\ ##0" ₽"\);\-</c:formatCode>
                <c:ptCount val="6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0A2-4E46-87F0-DF5C1CAB1B90}"/>
            </c:ext>
          </c:extLst>
        </c:ser>
        <c:ser>
          <c:idx val="8"/>
          <c:order val="8"/>
          <c:tx>
            <c:v>Накоплено на отпуск</c:v>
          </c:tx>
          <c:marker>
            <c:symbol val="none"/>
          </c:marker>
          <c:cat>
            <c:strRef>
              <c:f>Сводка!$A$4:$A$9</c:f>
              <c:strCache>
                <c:ptCount val="6"/>
                <c:pt idx="0">
                  <c:v>Октябрь 2026</c:v>
                </c:pt>
                <c:pt idx="1">
                  <c:v>Ноябрь 2026</c:v>
                </c:pt>
                <c:pt idx="2">
                  <c:v>Декабрь 2026</c:v>
                </c:pt>
                <c:pt idx="3">
                  <c:v>Январь 2027</c:v>
                </c:pt>
                <c:pt idx="4">
                  <c:v>Февраль 2027</c:v>
                </c:pt>
                <c:pt idx="5">
                  <c:v>Март 2027</c:v>
                </c:pt>
              </c:strCache>
            </c:strRef>
          </c:cat>
          <c:val>
            <c:numRef>
              <c:f>Сводка!$J$4:$J$9</c:f>
              <c:numCache>
                <c:formatCode>#\ ##0" ₽";[Red]\(#\ ##0" ₽"\);\-</c:formatCode>
                <c:ptCount val="6"/>
                <c:pt idx="0">
                  <c:v>17000</c:v>
                </c:pt>
                <c:pt idx="1">
                  <c:v>34000</c:v>
                </c:pt>
                <c:pt idx="2">
                  <c:v>51000</c:v>
                </c:pt>
                <c:pt idx="3">
                  <c:v>68000</c:v>
                </c:pt>
                <c:pt idx="4">
                  <c:v>84000</c:v>
                </c:pt>
                <c:pt idx="5">
                  <c:v>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A2-4E46-87F0-DF5C1CAB1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&quot; ₽&quot;;[Red]\(#\ ##0&quot; ₽&quot;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10</xdr:col>
      <xdr:colOff>0</xdr:colOff>
      <xdr:row>35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workbookViewId="0">
      <pane ySplit="3" topLeftCell="A4" activePane="bottomLeft" state="frozen"/>
      <selection pane="bottomLeft"/>
    </sheetView>
  </sheetViews>
  <sheetFormatPr defaultRowHeight="14.25"/>
  <cols>
    <col min="1" max="1" width="30" customWidth="1"/>
    <col min="2" max="2" width="16" customWidth="1"/>
    <col min="3" max="3" width="18" customWidth="1"/>
    <col min="4" max="4" width="22" customWidth="1"/>
  </cols>
  <sheetData>
    <row r="1" spans="1:26" ht="27.95" customHeight="1">
      <c r="A1" s="69" t="s">
        <v>0</v>
      </c>
      <c r="B1" s="69"/>
      <c r="C1" s="69"/>
      <c r="D1" s="6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2" t="s">
        <v>1</v>
      </c>
      <c r="B3" s="2" t="s">
        <v>2</v>
      </c>
      <c r="C3" s="2" t="s">
        <v>3</v>
      </c>
      <c r="D3" s="2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3" t="s">
        <v>5</v>
      </c>
      <c r="B4" s="4">
        <v>35000</v>
      </c>
      <c r="C4" s="5" t="s">
        <v>6</v>
      </c>
      <c r="D4" s="6" t="s">
        <v>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7" t="s">
        <v>8</v>
      </c>
      <c r="B5" s="8">
        <v>43000</v>
      </c>
      <c r="C5" s="9" t="s">
        <v>9</v>
      </c>
      <c r="D5" s="10" t="s">
        <v>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7" t="s">
        <v>10</v>
      </c>
      <c r="B6" s="8">
        <v>65000</v>
      </c>
      <c r="C6" s="9" t="s">
        <v>11</v>
      </c>
      <c r="D6" s="10" t="s">
        <v>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7" t="s">
        <v>12</v>
      </c>
      <c r="B7" s="8">
        <v>17000</v>
      </c>
      <c r="C7" s="9" t="s">
        <v>13</v>
      </c>
      <c r="D7" s="10" t="s">
        <v>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7" t="s">
        <v>14</v>
      </c>
      <c r="B8" s="8">
        <v>45000</v>
      </c>
      <c r="C8" s="9" t="s">
        <v>15</v>
      </c>
      <c r="D8" s="10" t="s">
        <v>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7" t="s">
        <v>16</v>
      </c>
      <c r="B9" s="8">
        <v>8000</v>
      </c>
      <c r="C9" s="9" t="s">
        <v>17</v>
      </c>
      <c r="D9" s="10" t="s">
        <v>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7" t="s">
        <v>18</v>
      </c>
      <c r="B10" s="8">
        <v>30000</v>
      </c>
      <c r="C10" s="9" t="s">
        <v>19</v>
      </c>
      <c r="D10" s="10" t="s">
        <v>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7" t="s">
        <v>20</v>
      </c>
      <c r="B11" s="8">
        <v>100000</v>
      </c>
      <c r="C11" s="9" t="s">
        <v>21</v>
      </c>
      <c r="D11" s="10" t="s">
        <v>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1" t="s">
        <v>22</v>
      </c>
      <c r="B12" s="12">
        <v>100000</v>
      </c>
      <c r="C12" s="13" t="s">
        <v>23</v>
      </c>
      <c r="D12" s="14" t="s">
        <v>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4.1" customHeight="1">
      <c r="A14" s="70" t="s">
        <v>24</v>
      </c>
      <c r="B14" s="70"/>
      <c r="C14" s="70"/>
      <c r="D14" s="70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5" t="s">
        <v>25</v>
      </c>
      <c r="B16" s="16" t="s">
        <v>26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7" t="s">
        <v>27</v>
      </c>
      <c r="B17" s="18">
        <f>SUM(B4:B7)</f>
        <v>160000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7" t="s">
        <v>28</v>
      </c>
      <c r="B18" s="18">
        <f>SUM(B8:B10)</f>
        <v>83000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9" t="s">
        <v>29</v>
      </c>
      <c r="B19" s="20">
        <f>B17-B18</f>
        <v>77000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D1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tabSelected="1" workbookViewId="0">
      <pane ySplit="3" topLeftCell="A4" activePane="bottomLeft" state="frozen"/>
      <selection pane="bottomLeft" activeCell="J4" sqref="J4"/>
    </sheetView>
  </sheetViews>
  <sheetFormatPr defaultRowHeight="14.25"/>
  <cols>
    <col min="1" max="1" width="13" customWidth="1"/>
    <col min="2" max="8" width="16" customWidth="1"/>
    <col min="9" max="9" width="42" customWidth="1"/>
    <col min="10" max="10" width="16" customWidth="1"/>
    <col min="11" max="14" width="17" customWidth="1"/>
    <col min="15" max="15" width="15" customWidth="1"/>
  </cols>
  <sheetData>
    <row r="1" spans="1:26" ht="27.95" customHeight="1">
      <c r="A1" s="71" t="s">
        <v>30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>
      <c r="A3" s="21" t="s">
        <v>31</v>
      </c>
      <c r="B3" s="21" t="s">
        <v>32</v>
      </c>
      <c r="C3" s="21" t="s">
        <v>33</v>
      </c>
      <c r="D3" s="21" t="s">
        <v>34</v>
      </c>
      <c r="E3" s="21" t="s">
        <v>35</v>
      </c>
      <c r="F3" s="21" t="s">
        <v>36</v>
      </c>
      <c r="G3" s="21" t="s">
        <v>37</v>
      </c>
      <c r="H3" s="21" t="s">
        <v>38</v>
      </c>
      <c r="I3" s="21" t="s">
        <v>39</v>
      </c>
      <c r="J3" s="50" t="s">
        <v>40</v>
      </c>
      <c r="K3" s="50" t="s">
        <v>41</v>
      </c>
      <c r="L3" s="50" t="s">
        <v>42</v>
      </c>
      <c r="M3" s="50" t="s">
        <v>43</v>
      </c>
      <c r="N3" s="50" t="s">
        <v>44</v>
      </c>
      <c r="O3" s="50" t="s">
        <v>45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>
      <c r="A4" s="22">
        <v>46300</v>
      </c>
      <c r="B4" s="23">
        <v>35000</v>
      </c>
      <c r="C4" s="23">
        <v>15000</v>
      </c>
      <c r="D4" s="23">
        <v>8000</v>
      </c>
      <c r="E4" s="23">
        <v>5000</v>
      </c>
      <c r="F4" s="23">
        <v>4000</v>
      </c>
      <c r="G4" s="23">
        <v>3000</v>
      </c>
      <c r="H4" s="23">
        <v>0</v>
      </c>
      <c r="I4" s="24" t="s">
        <v>46</v>
      </c>
      <c r="J4" s="53" t="s">
        <v>86</v>
      </c>
      <c r="K4" s="51">
        <f t="shared" ref="K4:K27" si="0">C4+D4+F4+G4</f>
        <v>30000</v>
      </c>
      <c r="L4" s="51">
        <f t="shared" ref="L4:L27" si="1">IF(J4="Отложил",K4,0)</f>
        <v>30000</v>
      </c>
      <c r="M4" s="51">
        <f t="shared" ref="M4:M27" si="2">IF(J4="Отложил",F4,0)</f>
        <v>4000</v>
      </c>
      <c r="N4" s="51">
        <f t="shared" ref="N4:N27" si="3">IF(J4="Отложил",G4,0)</f>
        <v>3000</v>
      </c>
      <c r="O4" s="56">
        <f t="shared" ref="O4:O27" si="4">IF(J4="Отложил",1,0)</f>
        <v>1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>
      <c r="A5" s="25">
        <v>46305</v>
      </c>
      <c r="B5" s="26">
        <v>43000</v>
      </c>
      <c r="C5" s="27">
        <v>30000</v>
      </c>
      <c r="D5" s="27">
        <v>0</v>
      </c>
      <c r="E5" s="26">
        <v>5000</v>
      </c>
      <c r="F5" s="28">
        <v>6000</v>
      </c>
      <c r="G5" s="28">
        <v>2000</v>
      </c>
      <c r="H5" s="29">
        <v>0</v>
      </c>
      <c r="I5" s="30" t="s">
        <v>47</v>
      </c>
      <c r="J5" s="54"/>
      <c r="K5" s="52">
        <f t="shared" si="0"/>
        <v>38000</v>
      </c>
      <c r="L5" s="52">
        <f t="shared" si="1"/>
        <v>0</v>
      </c>
      <c r="M5" s="52">
        <f t="shared" si="2"/>
        <v>0</v>
      </c>
      <c r="N5" s="52">
        <f t="shared" si="3"/>
        <v>0</v>
      </c>
      <c r="O5" s="57">
        <f t="shared" si="4"/>
        <v>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>
      <c r="A6" s="25">
        <v>46315</v>
      </c>
      <c r="B6" s="26">
        <v>65000</v>
      </c>
      <c r="C6" s="27">
        <v>0</v>
      </c>
      <c r="D6" s="27">
        <v>0</v>
      </c>
      <c r="E6" s="26">
        <v>10000</v>
      </c>
      <c r="F6" s="28">
        <v>10000</v>
      </c>
      <c r="G6" s="28">
        <v>10000</v>
      </c>
      <c r="H6" s="29">
        <v>35000</v>
      </c>
      <c r="I6" s="30" t="s">
        <v>48</v>
      </c>
      <c r="J6" s="54"/>
      <c r="K6" s="52">
        <f t="shared" si="0"/>
        <v>20000</v>
      </c>
      <c r="L6" s="52">
        <f t="shared" si="1"/>
        <v>0</v>
      </c>
      <c r="M6" s="52">
        <f t="shared" si="2"/>
        <v>0</v>
      </c>
      <c r="N6" s="52">
        <f t="shared" si="3"/>
        <v>0</v>
      </c>
      <c r="O6" s="57">
        <f t="shared" si="4"/>
        <v>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25">
        <v>46320</v>
      </c>
      <c r="B7" s="26">
        <v>17000</v>
      </c>
      <c r="C7" s="27">
        <v>0</v>
      </c>
      <c r="D7" s="27">
        <v>0</v>
      </c>
      <c r="E7" s="26">
        <v>10000</v>
      </c>
      <c r="F7" s="28">
        <v>5000</v>
      </c>
      <c r="G7" s="28">
        <v>2000</v>
      </c>
      <c r="H7" s="29">
        <v>0</v>
      </c>
      <c r="I7" s="30" t="s">
        <v>49</v>
      </c>
      <c r="J7" s="54"/>
      <c r="K7" s="52">
        <f t="shared" si="0"/>
        <v>7000</v>
      </c>
      <c r="L7" s="52">
        <f t="shared" si="1"/>
        <v>0</v>
      </c>
      <c r="M7" s="52">
        <f t="shared" si="2"/>
        <v>0</v>
      </c>
      <c r="N7" s="52">
        <f t="shared" si="3"/>
        <v>0</v>
      </c>
      <c r="O7" s="57">
        <f t="shared" si="4"/>
        <v>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25">
        <v>46331</v>
      </c>
      <c r="B8" s="26">
        <v>35000</v>
      </c>
      <c r="C8" s="27">
        <v>15000</v>
      </c>
      <c r="D8" s="27">
        <v>8000</v>
      </c>
      <c r="E8" s="26">
        <v>5000</v>
      </c>
      <c r="F8" s="28">
        <v>4000</v>
      </c>
      <c r="G8" s="28">
        <v>3000</v>
      </c>
      <c r="H8" s="29">
        <v>0</v>
      </c>
      <c r="I8" s="30" t="s">
        <v>50</v>
      </c>
      <c r="J8" s="54"/>
      <c r="K8" s="52">
        <f t="shared" si="0"/>
        <v>30000</v>
      </c>
      <c r="L8" s="52">
        <f t="shared" si="1"/>
        <v>0</v>
      </c>
      <c r="M8" s="52">
        <f t="shared" si="2"/>
        <v>0</v>
      </c>
      <c r="N8" s="52">
        <f t="shared" si="3"/>
        <v>0</v>
      </c>
      <c r="O8" s="57">
        <f t="shared" si="4"/>
        <v>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>
      <c r="A9" s="25">
        <v>46336</v>
      </c>
      <c r="B9" s="26">
        <v>43000</v>
      </c>
      <c r="C9" s="27">
        <v>30000</v>
      </c>
      <c r="D9" s="27">
        <v>0</v>
      </c>
      <c r="E9" s="26">
        <v>5000</v>
      </c>
      <c r="F9" s="28">
        <v>6000</v>
      </c>
      <c r="G9" s="28">
        <v>2000</v>
      </c>
      <c r="H9" s="29">
        <v>0</v>
      </c>
      <c r="I9" s="30" t="s">
        <v>47</v>
      </c>
      <c r="J9" s="54"/>
      <c r="K9" s="52">
        <f t="shared" si="0"/>
        <v>38000</v>
      </c>
      <c r="L9" s="52">
        <f t="shared" si="1"/>
        <v>0</v>
      </c>
      <c r="M9" s="52">
        <f t="shared" si="2"/>
        <v>0</v>
      </c>
      <c r="N9" s="52">
        <f t="shared" si="3"/>
        <v>0</v>
      </c>
      <c r="O9" s="57">
        <f t="shared" si="4"/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>
      <c r="A10" s="25">
        <v>46346</v>
      </c>
      <c r="B10" s="26">
        <v>65000</v>
      </c>
      <c r="C10" s="27">
        <v>0</v>
      </c>
      <c r="D10" s="27">
        <v>0</v>
      </c>
      <c r="E10" s="26">
        <v>10000</v>
      </c>
      <c r="F10" s="28">
        <v>10000</v>
      </c>
      <c r="G10" s="28">
        <v>10000</v>
      </c>
      <c r="H10" s="29">
        <v>35000</v>
      </c>
      <c r="I10" s="30" t="s">
        <v>48</v>
      </c>
      <c r="J10" s="54"/>
      <c r="K10" s="52">
        <f t="shared" si="0"/>
        <v>20000</v>
      </c>
      <c r="L10" s="52">
        <f t="shared" si="1"/>
        <v>0</v>
      </c>
      <c r="M10" s="52">
        <f t="shared" si="2"/>
        <v>0</v>
      </c>
      <c r="N10" s="52">
        <f t="shared" si="3"/>
        <v>0</v>
      </c>
      <c r="O10" s="57">
        <f t="shared" si="4"/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25">
        <v>46351</v>
      </c>
      <c r="B11" s="26">
        <v>17000</v>
      </c>
      <c r="C11" s="27">
        <v>0</v>
      </c>
      <c r="D11" s="27">
        <v>0</v>
      </c>
      <c r="E11" s="26">
        <v>10000</v>
      </c>
      <c r="F11" s="28">
        <v>5000</v>
      </c>
      <c r="G11" s="28">
        <v>2000</v>
      </c>
      <c r="H11" s="29">
        <v>0</v>
      </c>
      <c r="I11" s="30" t="s">
        <v>49</v>
      </c>
      <c r="J11" s="54"/>
      <c r="K11" s="52">
        <f t="shared" si="0"/>
        <v>7000</v>
      </c>
      <c r="L11" s="52">
        <f t="shared" si="1"/>
        <v>0</v>
      </c>
      <c r="M11" s="52">
        <f t="shared" si="2"/>
        <v>0</v>
      </c>
      <c r="N11" s="52">
        <f t="shared" si="3"/>
        <v>0</v>
      </c>
      <c r="O11" s="57">
        <f t="shared" si="4"/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25">
        <v>46361</v>
      </c>
      <c r="B12" s="26">
        <v>35000</v>
      </c>
      <c r="C12" s="27">
        <v>15000</v>
      </c>
      <c r="D12" s="27">
        <v>8000</v>
      </c>
      <c r="E12" s="26">
        <v>5000</v>
      </c>
      <c r="F12" s="28">
        <v>4000</v>
      </c>
      <c r="G12" s="28">
        <v>3000</v>
      </c>
      <c r="H12" s="29">
        <v>0</v>
      </c>
      <c r="I12" s="30" t="s">
        <v>50</v>
      </c>
      <c r="J12" s="54"/>
      <c r="K12" s="52">
        <f t="shared" si="0"/>
        <v>30000</v>
      </c>
      <c r="L12" s="52">
        <f t="shared" si="1"/>
        <v>0</v>
      </c>
      <c r="M12" s="52">
        <f t="shared" si="2"/>
        <v>0</v>
      </c>
      <c r="N12" s="52">
        <f t="shared" si="3"/>
        <v>0</v>
      </c>
      <c r="O12" s="57">
        <f t="shared" si="4"/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>
      <c r="A13" s="25">
        <v>46366</v>
      </c>
      <c r="B13" s="26">
        <v>43000</v>
      </c>
      <c r="C13" s="27">
        <v>30000</v>
      </c>
      <c r="D13" s="27">
        <v>0</v>
      </c>
      <c r="E13" s="26">
        <v>5000</v>
      </c>
      <c r="F13" s="28">
        <v>6000</v>
      </c>
      <c r="G13" s="28">
        <v>2000</v>
      </c>
      <c r="H13" s="29">
        <v>0</v>
      </c>
      <c r="I13" s="30" t="s">
        <v>47</v>
      </c>
      <c r="J13" s="54"/>
      <c r="K13" s="52">
        <f t="shared" si="0"/>
        <v>38000</v>
      </c>
      <c r="L13" s="52">
        <f t="shared" si="1"/>
        <v>0</v>
      </c>
      <c r="M13" s="52">
        <f t="shared" si="2"/>
        <v>0</v>
      </c>
      <c r="N13" s="52">
        <f t="shared" si="3"/>
        <v>0</v>
      </c>
      <c r="O13" s="57">
        <f t="shared" si="4"/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>
      <c r="A14" s="25">
        <v>46376</v>
      </c>
      <c r="B14" s="26">
        <v>65000</v>
      </c>
      <c r="C14" s="27">
        <v>0</v>
      </c>
      <c r="D14" s="27">
        <v>0</v>
      </c>
      <c r="E14" s="26">
        <v>10000</v>
      </c>
      <c r="F14" s="28">
        <v>10000</v>
      </c>
      <c r="G14" s="28">
        <v>10000</v>
      </c>
      <c r="H14" s="29">
        <v>35000</v>
      </c>
      <c r="I14" s="30" t="s">
        <v>48</v>
      </c>
      <c r="J14" s="54"/>
      <c r="K14" s="52">
        <f t="shared" si="0"/>
        <v>20000</v>
      </c>
      <c r="L14" s="52">
        <f t="shared" si="1"/>
        <v>0</v>
      </c>
      <c r="M14" s="52">
        <f t="shared" si="2"/>
        <v>0</v>
      </c>
      <c r="N14" s="52">
        <f t="shared" si="3"/>
        <v>0</v>
      </c>
      <c r="O14" s="57">
        <f t="shared" si="4"/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25">
        <v>46381</v>
      </c>
      <c r="B15" s="26">
        <v>17000</v>
      </c>
      <c r="C15" s="27">
        <v>0</v>
      </c>
      <c r="D15" s="27">
        <v>0</v>
      </c>
      <c r="E15" s="26">
        <v>10000</v>
      </c>
      <c r="F15" s="28">
        <v>5000</v>
      </c>
      <c r="G15" s="28">
        <v>2000</v>
      </c>
      <c r="H15" s="29">
        <v>0</v>
      </c>
      <c r="I15" s="30" t="s">
        <v>49</v>
      </c>
      <c r="J15" s="54"/>
      <c r="K15" s="52">
        <f t="shared" si="0"/>
        <v>7000</v>
      </c>
      <c r="L15" s="52">
        <f t="shared" si="1"/>
        <v>0</v>
      </c>
      <c r="M15" s="52">
        <f t="shared" si="2"/>
        <v>0</v>
      </c>
      <c r="N15" s="52">
        <f t="shared" si="3"/>
        <v>0</v>
      </c>
      <c r="O15" s="57">
        <f t="shared" si="4"/>
        <v>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25">
        <v>46392</v>
      </c>
      <c r="B16" s="26">
        <v>35000</v>
      </c>
      <c r="C16" s="27">
        <v>15000</v>
      </c>
      <c r="D16" s="27">
        <v>8000</v>
      </c>
      <c r="E16" s="26">
        <v>5000</v>
      </c>
      <c r="F16" s="28">
        <v>4000</v>
      </c>
      <c r="G16" s="28">
        <v>3000</v>
      </c>
      <c r="H16" s="29">
        <v>0</v>
      </c>
      <c r="I16" s="30" t="s">
        <v>50</v>
      </c>
      <c r="J16" s="54"/>
      <c r="K16" s="52">
        <f t="shared" si="0"/>
        <v>30000</v>
      </c>
      <c r="L16" s="52">
        <f t="shared" si="1"/>
        <v>0</v>
      </c>
      <c r="M16" s="52">
        <f t="shared" si="2"/>
        <v>0</v>
      </c>
      <c r="N16" s="52">
        <f t="shared" si="3"/>
        <v>0</v>
      </c>
      <c r="O16" s="57">
        <f t="shared" si="4"/>
        <v>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">
      <c r="A17" s="25">
        <v>46397</v>
      </c>
      <c r="B17" s="26">
        <v>43000</v>
      </c>
      <c r="C17" s="27">
        <v>30000</v>
      </c>
      <c r="D17" s="27">
        <v>0</v>
      </c>
      <c r="E17" s="26">
        <v>5000</v>
      </c>
      <c r="F17" s="28">
        <v>6000</v>
      </c>
      <c r="G17" s="28">
        <v>2000</v>
      </c>
      <c r="H17" s="29">
        <v>0</v>
      </c>
      <c r="I17" s="30" t="s">
        <v>47</v>
      </c>
      <c r="J17" s="54"/>
      <c r="K17" s="52">
        <f t="shared" si="0"/>
        <v>38000</v>
      </c>
      <c r="L17" s="52">
        <f t="shared" si="1"/>
        <v>0</v>
      </c>
      <c r="M17" s="52">
        <f t="shared" si="2"/>
        <v>0</v>
      </c>
      <c r="N17" s="52">
        <f t="shared" si="3"/>
        <v>0</v>
      </c>
      <c r="O17" s="57">
        <f t="shared" si="4"/>
        <v>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>
      <c r="A18" s="25">
        <v>46407</v>
      </c>
      <c r="B18" s="26">
        <v>65000</v>
      </c>
      <c r="C18" s="27">
        <v>0</v>
      </c>
      <c r="D18" s="27">
        <v>0</v>
      </c>
      <c r="E18" s="26">
        <v>10000</v>
      </c>
      <c r="F18" s="28">
        <v>10000</v>
      </c>
      <c r="G18" s="28">
        <v>10000</v>
      </c>
      <c r="H18" s="29">
        <v>35000</v>
      </c>
      <c r="I18" s="30" t="s">
        <v>48</v>
      </c>
      <c r="J18" s="54"/>
      <c r="K18" s="52">
        <f t="shared" si="0"/>
        <v>20000</v>
      </c>
      <c r="L18" s="52">
        <f t="shared" si="1"/>
        <v>0</v>
      </c>
      <c r="M18" s="52">
        <f t="shared" si="2"/>
        <v>0</v>
      </c>
      <c r="N18" s="52">
        <f t="shared" si="3"/>
        <v>0</v>
      </c>
      <c r="O18" s="57">
        <f t="shared" si="4"/>
        <v>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25">
        <v>46412</v>
      </c>
      <c r="B19" s="26">
        <v>17000</v>
      </c>
      <c r="C19" s="27">
        <v>0</v>
      </c>
      <c r="D19" s="27">
        <v>0</v>
      </c>
      <c r="E19" s="26">
        <v>10000</v>
      </c>
      <c r="F19" s="28">
        <v>5000</v>
      </c>
      <c r="G19" s="28">
        <v>2000</v>
      </c>
      <c r="H19" s="29">
        <v>0</v>
      </c>
      <c r="I19" s="30" t="s">
        <v>49</v>
      </c>
      <c r="J19" s="54"/>
      <c r="K19" s="52">
        <f t="shared" si="0"/>
        <v>7000</v>
      </c>
      <c r="L19" s="52">
        <f t="shared" si="1"/>
        <v>0</v>
      </c>
      <c r="M19" s="52">
        <f t="shared" si="2"/>
        <v>0</v>
      </c>
      <c r="N19" s="52">
        <f t="shared" si="3"/>
        <v>0</v>
      </c>
      <c r="O19" s="57">
        <f t="shared" si="4"/>
        <v>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25">
        <v>46423</v>
      </c>
      <c r="B20" s="26">
        <v>35000</v>
      </c>
      <c r="C20" s="27">
        <v>15000</v>
      </c>
      <c r="D20" s="27">
        <v>8000</v>
      </c>
      <c r="E20" s="26">
        <v>5000</v>
      </c>
      <c r="F20" s="28">
        <v>0</v>
      </c>
      <c r="G20" s="28">
        <v>3000</v>
      </c>
      <c r="H20" s="29">
        <v>4000</v>
      </c>
      <c r="I20" s="30" t="s">
        <v>50</v>
      </c>
      <c r="J20" s="54"/>
      <c r="K20" s="52">
        <f t="shared" si="0"/>
        <v>26000</v>
      </c>
      <c r="L20" s="52">
        <f t="shared" si="1"/>
        <v>0</v>
      </c>
      <c r="M20" s="52">
        <f t="shared" si="2"/>
        <v>0</v>
      </c>
      <c r="N20" s="52">
        <f t="shared" si="3"/>
        <v>0</v>
      </c>
      <c r="O20" s="57">
        <f t="shared" si="4"/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0">
      <c r="A21" s="25">
        <v>46428</v>
      </c>
      <c r="B21" s="26">
        <v>43000</v>
      </c>
      <c r="C21" s="27">
        <v>30000</v>
      </c>
      <c r="D21" s="27">
        <v>0</v>
      </c>
      <c r="E21" s="26">
        <v>5000</v>
      </c>
      <c r="F21" s="28">
        <v>0</v>
      </c>
      <c r="G21" s="28">
        <v>2000</v>
      </c>
      <c r="H21" s="29">
        <v>6000</v>
      </c>
      <c r="I21" s="30" t="s">
        <v>47</v>
      </c>
      <c r="J21" s="54"/>
      <c r="K21" s="52">
        <f t="shared" si="0"/>
        <v>32000</v>
      </c>
      <c r="L21" s="52">
        <f t="shared" si="1"/>
        <v>0</v>
      </c>
      <c r="M21" s="52">
        <f t="shared" si="2"/>
        <v>0</v>
      </c>
      <c r="N21" s="52">
        <f t="shared" si="3"/>
        <v>0</v>
      </c>
      <c r="O21" s="57">
        <f t="shared" si="4"/>
        <v>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">
      <c r="A22" s="25">
        <v>46438</v>
      </c>
      <c r="B22" s="26">
        <v>65000</v>
      </c>
      <c r="C22" s="27">
        <v>0</v>
      </c>
      <c r="D22" s="27">
        <v>0</v>
      </c>
      <c r="E22" s="26">
        <v>10000</v>
      </c>
      <c r="F22" s="28">
        <v>0</v>
      </c>
      <c r="G22" s="28">
        <v>9000</v>
      </c>
      <c r="H22" s="29">
        <v>46000</v>
      </c>
      <c r="I22" s="30" t="s">
        <v>48</v>
      </c>
      <c r="J22" s="54"/>
      <c r="K22" s="52">
        <f t="shared" si="0"/>
        <v>9000</v>
      </c>
      <c r="L22" s="52">
        <f t="shared" si="1"/>
        <v>0</v>
      </c>
      <c r="M22" s="52">
        <f t="shared" si="2"/>
        <v>0</v>
      </c>
      <c r="N22" s="52">
        <f t="shared" si="3"/>
        <v>0</v>
      </c>
      <c r="O22" s="57">
        <f t="shared" si="4"/>
        <v>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25">
        <v>46443</v>
      </c>
      <c r="B23" s="26">
        <v>17000</v>
      </c>
      <c r="C23" s="27">
        <v>0</v>
      </c>
      <c r="D23" s="27">
        <v>0</v>
      </c>
      <c r="E23" s="26">
        <v>10000</v>
      </c>
      <c r="F23" s="28">
        <v>0</v>
      </c>
      <c r="G23" s="28">
        <v>2000</v>
      </c>
      <c r="H23" s="29">
        <v>5000</v>
      </c>
      <c r="I23" s="30" t="s">
        <v>49</v>
      </c>
      <c r="J23" s="54"/>
      <c r="K23" s="52">
        <f t="shared" si="0"/>
        <v>2000</v>
      </c>
      <c r="L23" s="52">
        <f t="shared" si="1"/>
        <v>0</v>
      </c>
      <c r="M23" s="52">
        <f t="shared" si="2"/>
        <v>0</v>
      </c>
      <c r="N23" s="52">
        <f t="shared" si="3"/>
        <v>0</v>
      </c>
      <c r="O23" s="57">
        <f t="shared" si="4"/>
        <v>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25">
        <v>46451</v>
      </c>
      <c r="B24" s="26">
        <v>35000</v>
      </c>
      <c r="C24" s="27">
        <v>15000</v>
      </c>
      <c r="D24" s="27">
        <v>8000</v>
      </c>
      <c r="E24" s="26">
        <v>5000</v>
      </c>
      <c r="F24" s="28">
        <v>0</v>
      </c>
      <c r="G24" s="28">
        <v>3000</v>
      </c>
      <c r="H24" s="29">
        <v>4000</v>
      </c>
      <c r="I24" s="30" t="s">
        <v>50</v>
      </c>
      <c r="J24" s="54"/>
      <c r="K24" s="52">
        <f t="shared" si="0"/>
        <v>26000</v>
      </c>
      <c r="L24" s="52">
        <f t="shared" si="1"/>
        <v>0</v>
      </c>
      <c r="M24" s="52">
        <f t="shared" si="2"/>
        <v>0</v>
      </c>
      <c r="N24" s="52">
        <f t="shared" si="3"/>
        <v>0</v>
      </c>
      <c r="O24" s="57">
        <f t="shared" si="4"/>
        <v>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0">
      <c r="A25" s="25">
        <v>46456</v>
      </c>
      <c r="B25" s="26">
        <v>43000</v>
      </c>
      <c r="C25" s="27">
        <v>30000</v>
      </c>
      <c r="D25" s="27">
        <v>0</v>
      </c>
      <c r="E25" s="26">
        <v>5000</v>
      </c>
      <c r="F25" s="28">
        <v>0</v>
      </c>
      <c r="G25" s="28">
        <v>2000</v>
      </c>
      <c r="H25" s="29">
        <v>6000</v>
      </c>
      <c r="I25" s="30" t="s">
        <v>47</v>
      </c>
      <c r="J25" s="54"/>
      <c r="K25" s="52">
        <f t="shared" si="0"/>
        <v>32000</v>
      </c>
      <c r="L25" s="52">
        <f t="shared" si="1"/>
        <v>0</v>
      </c>
      <c r="M25" s="52">
        <f t="shared" si="2"/>
        <v>0</v>
      </c>
      <c r="N25" s="52">
        <f t="shared" si="3"/>
        <v>0</v>
      </c>
      <c r="O25" s="57">
        <f t="shared" si="4"/>
        <v>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0">
      <c r="A26" s="25">
        <v>46466</v>
      </c>
      <c r="B26" s="26">
        <v>65000</v>
      </c>
      <c r="C26" s="27">
        <v>0</v>
      </c>
      <c r="D26" s="27">
        <v>0</v>
      </c>
      <c r="E26" s="26">
        <v>10000</v>
      </c>
      <c r="F26" s="28">
        <v>0</v>
      </c>
      <c r="G26" s="28">
        <v>9000</v>
      </c>
      <c r="H26" s="29">
        <v>46000</v>
      </c>
      <c r="I26" s="30" t="s">
        <v>48</v>
      </c>
      <c r="J26" s="54"/>
      <c r="K26" s="52">
        <f t="shared" si="0"/>
        <v>9000</v>
      </c>
      <c r="L26" s="52">
        <f t="shared" si="1"/>
        <v>0</v>
      </c>
      <c r="M26" s="52">
        <f t="shared" si="2"/>
        <v>0</v>
      </c>
      <c r="N26" s="52">
        <f t="shared" si="3"/>
        <v>0</v>
      </c>
      <c r="O26" s="57">
        <f t="shared" si="4"/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31">
        <v>46471</v>
      </c>
      <c r="B27" s="32">
        <v>17000</v>
      </c>
      <c r="C27" s="33">
        <v>0</v>
      </c>
      <c r="D27" s="33">
        <v>0</v>
      </c>
      <c r="E27" s="32">
        <v>10000</v>
      </c>
      <c r="F27" s="34">
        <v>0</v>
      </c>
      <c r="G27" s="34">
        <v>2000</v>
      </c>
      <c r="H27" s="35">
        <v>5000</v>
      </c>
      <c r="I27" s="36" t="s">
        <v>49</v>
      </c>
      <c r="J27" s="55"/>
      <c r="K27" s="32">
        <f t="shared" si="0"/>
        <v>2000</v>
      </c>
      <c r="L27" s="32">
        <f t="shared" si="1"/>
        <v>0</v>
      </c>
      <c r="M27" s="32">
        <f t="shared" si="2"/>
        <v>0</v>
      </c>
      <c r="N27" s="32">
        <f t="shared" si="3"/>
        <v>0</v>
      </c>
      <c r="O27" s="58">
        <f t="shared" si="4"/>
        <v>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O1"/>
  </mergeCells>
  <conditionalFormatting sqref="J4:J27">
    <cfRule type="expression" dxfId="3" priority="1">
      <formula>J4="Отложил"</formula>
    </cfRule>
    <cfRule type="expression" dxfId="2" priority="2">
      <formula>J4="Не отложил"</formula>
    </cfRule>
  </conditionalFormatting>
  <conditionalFormatting sqref="O4:O27">
    <cfRule type="dataBar" priority="3">
      <dataBar>
        <cfvo type="min"/>
        <cfvo type="max"/>
        <color rgb="FF16A34A"/>
      </dataBar>
    </cfRule>
    <cfRule type="dataBar" priority="4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{A672F392-1AA6-B2DB-A5D3-86AD858E3668}</x14:id>
        </ext>
      </extLst>
    </cfRule>
  </conditionalFormatting>
  <dataValidations count="1">
    <dataValidation type="list" sqref="J4:J27" xr:uid="{00000000-0002-0000-0100-000000000000}">
      <formula1>"Отложил,Не отложил"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72F392-1AA6-B2DB-A5D3-86AD858E3668}">
            <x14:dataBar>
              <x14:cfvo type="min"/>
              <x14:cfvo type="max"/>
              <x14:negativeFillColor auto="1"/>
              <x14:axisColor auto="1"/>
            </x14:dataBar>
          </x14:cfRule>
          <xm:sqref>O4:O27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>
      <pane ySplit="3" topLeftCell="A4" activePane="bottomLeft" state="frozen"/>
      <selection pane="bottomLeft"/>
    </sheetView>
  </sheetViews>
  <sheetFormatPr defaultRowHeight="14.25"/>
  <cols>
    <col min="1" max="1" width="18" customWidth="1"/>
    <col min="2" max="8" width="15" customWidth="1"/>
    <col min="9" max="10" width="20" customWidth="1"/>
    <col min="12" max="12" width="20" customWidth="1"/>
    <col min="13" max="15" width="18" customWidth="1"/>
  </cols>
  <sheetData>
    <row r="1" spans="1:26" ht="27.95" customHeight="1">
      <c r="A1" s="72" t="s">
        <v>51</v>
      </c>
      <c r="B1" s="72"/>
      <c r="C1" s="72"/>
      <c r="D1" s="72"/>
      <c r="E1" s="72"/>
      <c r="F1" s="72"/>
      <c r="G1" s="72"/>
      <c r="H1" s="72"/>
      <c r="I1" s="72"/>
      <c r="J1" s="72"/>
      <c r="K1" s="1"/>
      <c r="L1" s="75" t="s">
        <v>52</v>
      </c>
      <c r="M1" s="75"/>
      <c r="N1" s="75"/>
      <c r="O1" s="75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>
      <c r="A3" s="37" t="s">
        <v>53</v>
      </c>
      <c r="B3" s="38" t="s">
        <v>54</v>
      </c>
      <c r="C3" s="38" t="s">
        <v>14</v>
      </c>
      <c r="D3" s="38" t="s">
        <v>55</v>
      </c>
      <c r="E3" s="38" t="s">
        <v>18</v>
      </c>
      <c r="F3" s="38" t="s">
        <v>56</v>
      </c>
      <c r="G3" s="38" t="s">
        <v>57</v>
      </c>
      <c r="H3" s="38" t="s">
        <v>38</v>
      </c>
      <c r="I3" s="38" t="s">
        <v>58</v>
      </c>
      <c r="J3" s="39" t="s">
        <v>59</v>
      </c>
      <c r="K3" s="1"/>
      <c r="L3" s="59" t="s">
        <v>60</v>
      </c>
      <c r="M3" s="60" t="s">
        <v>61</v>
      </c>
      <c r="N3" s="60" t="s">
        <v>62</v>
      </c>
      <c r="O3" s="61" t="s">
        <v>63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7" t="s">
        <v>64</v>
      </c>
      <c r="B4" s="40">
        <f>SUM('План по датам'!B4:B7)</f>
        <v>160000</v>
      </c>
      <c r="C4" s="40">
        <f>SUM('План по датам'!C4:C7)</f>
        <v>45000</v>
      </c>
      <c r="D4" s="40">
        <f>SUM('План по датам'!D4:D7)</f>
        <v>8000</v>
      </c>
      <c r="E4" s="40">
        <f>SUM('План по датам'!E4:E7)</f>
        <v>30000</v>
      </c>
      <c r="F4" s="40">
        <f>SUM('План по датам'!F4:F7)</f>
        <v>25000</v>
      </c>
      <c r="G4" s="40">
        <f>SUM('План по датам'!G4:G7)</f>
        <v>17000</v>
      </c>
      <c r="H4" s="40">
        <f>SUM('План по датам'!H4:H7)</f>
        <v>35000</v>
      </c>
      <c r="I4" s="41">
        <f>F4</f>
        <v>25000</v>
      </c>
      <c r="J4" s="42">
        <f>G4</f>
        <v>17000</v>
      </c>
      <c r="K4" s="1"/>
      <c r="L4" s="17" t="s">
        <v>56</v>
      </c>
      <c r="M4" s="52">
        <v>100000</v>
      </c>
      <c r="N4" s="52">
        <f>SUM('План по датам'!M4:M27)</f>
        <v>4000</v>
      </c>
      <c r="O4" s="62">
        <f>MIN(N4/M4,1)</f>
        <v>0.04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7" t="s">
        <v>65</v>
      </c>
      <c r="B5" s="40">
        <f>SUM('План по датам'!B8:B11)</f>
        <v>160000</v>
      </c>
      <c r="C5" s="40">
        <f>SUM('План по датам'!C8:C11)</f>
        <v>45000</v>
      </c>
      <c r="D5" s="40">
        <f>SUM('План по датам'!D8:D11)</f>
        <v>8000</v>
      </c>
      <c r="E5" s="40">
        <f>SUM('План по датам'!E8:E11)</f>
        <v>30000</v>
      </c>
      <c r="F5" s="40">
        <f>SUM('План по датам'!F8:F11)</f>
        <v>25000</v>
      </c>
      <c r="G5" s="40">
        <f>SUM('План по датам'!G8:G11)</f>
        <v>17000</v>
      </c>
      <c r="H5" s="40">
        <f>SUM('План по датам'!H8:H11)</f>
        <v>35000</v>
      </c>
      <c r="I5" s="41">
        <f t="shared" ref="I5:J9" si="0">I4+F5</f>
        <v>50000</v>
      </c>
      <c r="J5" s="42">
        <f t="shared" si="0"/>
        <v>34000</v>
      </c>
      <c r="K5" s="1"/>
      <c r="L5" s="17" t="s">
        <v>57</v>
      </c>
      <c r="M5" s="52">
        <v>100000</v>
      </c>
      <c r="N5" s="52">
        <f>SUM('План по датам'!N4:N27)</f>
        <v>3000</v>
      </c>
      <c r="O5" s="62">
        <f>MIN(N5/M5,1)</f>
        <v>0.03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7" t="s">
        <v>66</v>
      </c>
      <c r="B6" s="40">
        <f>SUM('План по датам'!B12:B15)</f>
        <v>160000</v>
      </c>
      <c r="C6" s="40">
        <f>SUM('План по датам'!C12:C15)</f>
        <v>45000</v>
      </c>
      <c r="D6" s="40">
        <f>SUM('План по датам'!D12:D15)</f>
        <v>8000</v>
      </c>
      <c r="E6" s="40">
        <f>SUM('План по датам'!E12:E15)</f>
        <v>30000</v>
      </c>
      <c r="F6" s="40">
        <f>SUM('План по датам'!F12:F15)</f>
        <v>25000</v>
      </c>
      <c r="G6" s="40">
        <f>SUM('План по датам'!G12:G15)</f>
        <v>17000</v>
      </c>
      <c r="H6" s="40">
        <f>SUM('План по датам'!H12:H15)</f>
        <v>35000</v>
      </c>
      <c r="I6" s="41">
        <f t="shared" si="0"/>
        <v>75000</v>
      </c>
      <c r="J6" s="42">
        <f t="shared" si="0"/>
        <v>51000</v>
      </c>
      <c r="K6" s="1"/>
      <c r="L6" s="19" t="s">
        <v>67</v>
      </c>
      <c r="M6" s="63">
        <v>200000</v>
      </c>
      <c r="N6" s="63">
        <f>N4+N5</f>
        <v>7000</v>
      </c>
      <c r="O6" s="64">
        <f>MIN(N6/M6,1)</f>
        <v>3.5000000000000003E-2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7" t="s">
        <v>68</v>
      </c>
      <c r="B7" s="40">
        <f>SUM('План по датам'!B16:B19)</f>
        <v>160000</v>
      </c>
      <c r="C7" s="40">
        <f>SUM('План по датам'!C16:C19)</f>
        <v>45000</v>
      </c>
      <c r="D7" s="40">
        <f>SUM('План по датам'!D16:D19)</f>
        <v>8000</v>
      </c>
      <c r="E7" s="40">
        <f>SUM('План по датам'!E16:E19)</f>
        <v>30000</v>
      </c>
      <c r="F7" s="40">
        <f>SUM('План по датам'!F16:F19)</f>
        <v>25000</v>
      </c>
      <c r="G7" s="40">
        <f>SUM('План по датам'!G16:G19)</f>
        <v>17000</v>
      </c>
      <c r="H7" s="40">
        <f>SUM('План по датам'!H16:H19)</f>
        <v>35000</v>
      </c>
      <c r="I7" s="41">
        <f t="shared" si="0"/>
        <v>100000</v>
      </c>
      <c r="J7" s="42">
        <f t="shared" si="0"/>
        <v>68000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7" t="s">
        <v>69</v>
      </c>
      <c r="B8" s="40">
        <f>SUM('План по датам'!B20:B23)</f>
        <v>160000</v>
      </c>
      <c r="C8" s="40">
        <f>SUM('План по датам'!C20:C23)</f>
        <v>45000</v>
      </c>
      <c r="D8" s="40">
        <f>SUM('План по датам'!D20:D23)</f>
        <v>8000</v>
      </c>
      <c r="E8" s="40">
        <f>SUM('План по датам'!E20:E23)</f>
        <v>30000</v>
      </c>
      <c r="F8" s="40">
        <f>SUM('План по датам'!F20:F23)</f>
        <v>0</v>
      </c>
      <c r="G8" s="40">
        <f>SUM('План по датам'!G20:G23)</f>
        <v>16000</v>
      </c>
      <c r="H8" s="40">
        <f>SUM('План по датам'!H20:H23)</f>
        <v>61000</v>
      </c>
      <c r="I8" s="41">
        <f t="shared" si="0"/>
        <v>100000</v>
      </c>
      <c r="J8" s="42">
        <f t="shared" si="0"/>
        <v>84000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1" t="s">
        <v>70</v>
      </c>
      <c r="B9" s="43">
        <f>SUM('План по датам'!B24:B27)</f>
        <v>160000</v>
      </c>
      <c r="C9" s="43">
        <f>SUM('План по датам'!C24:C27)</f>
        <v>45000</v>
      </c>
      <c r="D9" s="43">
        <f>SUM('План по датам'!D24:D27)</f>
        <v>8000</v>
      </c>
      <c r="E9" s="43">
        <f>SUM('План по датам'!E24:E27)</f>
        <v>30000</v>
      </c>
      <c r="F9" s="43">
        <f>SUM('План по датам'!F24:F27)</f>
        <v>0</v>
      </c>
      <c r="G9" s="43">
        <f>SUM('План по датам'!G24:G27)</f>
        <v>16000</v>
      </c>
      <c r="H9" s="43">
        <f>SUM('План по датам'!H24:H27)</f>
        <v>61000</v>
      </c>
      <c r="I9" s="44">
        <f t="shared" si="0"/>
        <v>100000</v>
      </c>
      <c r="J9" s="45">
        <f t="shared" si="0"/>
        <v>100000</v>
      </c>
      <c r="K9" s="1"/>
      <c r="L9" s="76" t="s">
        <v>71</v>
      </c>
      <c r="M9" s="76"/>
      <c r="N9" s="76"/>
      <c r="O9" s="76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1"/>
      <c r="L10" s="65" t="s">
        <v>72</v>
      </c>
      <c r="M10" s="66" t="s">
        <v>73</v>
      </c>
      <c r="N10" s="67" t="s">
        <v>45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1"/>
      <c r="L11" s="19">
        <f>COUNTIF('План по датам'!J4:J27,"Отложил")</f>
        <v>1</v>
      </c>
      <c r="M11" s="68">
        <v>24</v>
      </c>
      <c r="N11" s="64">
        <f>L11/M11</f>
        <v>4.1666666666666664E-2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47" t="s">
        <v>74</v>
      </c>
      <c r="B12" s="48" t="s">
        <v>60</v>
      </c>
      <c r="C12" s="48" t="s">
        <v>75</v>
      </c>
      <c r="D12" s="49" t="s">
        <v>40</v>
      </c>
      <c r="E12" s="46"/>
      <c r="F12" s="73" t="s">
        <v>76</v>
      </c>
      <c r="G12" s="73"/>
      <c r="H12" s="73"/>
      <c r="I12" s="73"/>
      <c r="J12" s="7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95" customHeight="1">
      <c r="A13" s="7" t="s">
        <v>77</v>
      </c>
      <c r="B13" s="40">
        <v>8000</v>
      </c>
      <c r="C13" s="40">
        <f>'План по датам'!D4+'План по датам'!D5</f>
        <v>8000</v>
      </c>
      <c r="D13" s="10" t="str">
        <f>IF(C13&gt;=B13,"Выполнено","Не хватает")</f>
        <v>Выполнено</v>
      </c>
      <c r="E13" s="46"/>
      <c r="F13" s="74" t="s">
        <v>78</v>
      </c>
      <c r="G13" s="74"/>
      <c r="H13" s="74"/>
      <c r="I13" s="74"/>
      <c r="J13" s="74"/>
      <c r="K13" s="1"/>
      <c r="L13" s="77" t="s">
        <v>79</v>
      </c>
      <c r="M13" s="77"/>
      <c r="N13" s="77"/>
      <c r="O13" s="77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95" customHeight="1">
      <c r="A14" s="7" t="s">
        <v>80</v>
      </c>
      <c r="B14" s="40">
        <v>45000</v>
      </c>
      <c r="C14" s="40">
        <f>'План по датам'!C4+'План по датам'!C5</f>
        <v>45000</v>
      </c>
      <c r="D14" s="10" t="str">
        <f>IF(C14&gt;=B14,"Выполнено","Не хватает")</f>
        <v>Выполнено</v>
      </c>
      <c r="E14" s="46"/>
      <c r="F14" s="74" t="s">
        <v>81</v>
      </c>
      <c r="G14" s="74"/>
      <c r="H14" s="74"/>
      <c r="I14" s="74"/>
      <c r="J14" s="74"/>
      <c r="K14" s="1"/>
      <c r="L14" s="77"/>
      <c r="M14" s="77"/>
      <c r="N14" s="77"/>
      <c r="O14" s="77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95" customHeight="1">
      <c r="A15" s="7" t="s">
        <v>82</v>
      </c>
      <c r="B15" s="40">
        <v>100000</v>
      </c>
      <c r="C15" s="40">
        <f>I7</f>
        <v>100000</v>
      </c>
      <c r="D15" s="10" t="str">
        <f>IF(C15&gt;=B15,"Выполнено","Не хватает")</f>
        <v>Выполнено</v>
      </c>
      <c r="E15" s="46"/>
      <c r="F15" s="74" t="s">
        <v>83</v>
      </c>
      <c r="G15" s="74"/>
      <c r="H15" s="74"/>
      <c r="I15" s="74"/>
      <c r="J15" s="74"/>
      <c r="K15" s="1"/>
      <c r="L15" s="77"/>
      <c r="M15" s="77"/>
      <c r="N15" s="77"/>
      <c r="O15" s="77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95" customHeight="1">
      <c r="A16" s="11" t="s">
        <v>84</v>
      </c>
      <c r="B16" s="43">
        <v>100000</v>
      </c>
      <c r="C16" s="43">
        <f>J9</f>
        <v>100000</v>
      </c>
      <c r="D16" s="14" t="str">
        <f>IF(C16&gt;=B16,"Выполнено","Не хватает")</f>
        <v>Выполнено</v>
      </c>
      <c r="E16" s="46"/>
      <c r="F16" s="74" t="s">
        <v>85</v>
      </c>
      <c r="G16" s="74"/>
      <c r="H16" s="74"/>
      <c r="I16" s="74"/>
      <c r="J16" s="7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9">
    <mergeCell ref="F16:J16"/>
    <mergeCell ref="L1:O1"/>
    <mergeCell ref="L9:O9"/>
    <mergeCell ref="L13:O15"/>
    <mergeCell ref="A1:J1"/>
    <mergeCell ref="F12:J12"/>
    <mergeCell ref="F13:J13"/>
    <mergeCell ref="F14:J14"/>
    <mergeCell ref="F15:J15"/>
  </mergeCells>
  <conditionalFormatting sqref="D13:D16">
    <cfRule type="expression" dxfId="1" priority="1">
      <formula>D13="Выполнено"</formula>
    </cfRule>
    <cfRule type="expression" dxfId="0" priority="2">
      <formula>D13="Не хватает"</formula>
    </cfRule>
  </conditionalFormatting>
  <conditionalFormatting sqref="N11">
    <cfRule type="dataBar" priority="4">
      <dataBar>
        <cfvo type="min"/>
        <cfvo type="max"/>
        <color rgb="FF16A34A"/>
      </dataBar>
    </cfRule>
    <cfRule type="dataBar" priority="6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{36EDAC23-B94A-47DF-A3BF-2BBC64B6819F}</x14:id>
        </ext>
      </extLst>
    </cfRule>
  </conditionalFormatting>
  <conditionalFormatting sqref="O4:O6">
    <cfRule type="dataBar" priority="3">
      <dataBar>
        <cfvo type="min"/>
        <cfvo type="max"/>
        <color rgb="FF16A34A"/>
      </dataBar>
    </cfRule>
    <cfRule type="dataBar" priority="5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{1A912E01-36CB-90CF-7401-9CC870743F18}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EDAC23-B94A-47DF-A3BF-2BBC64B6819F}">
            <x14:dataBar>
              <x14:cfvo type="min"/>
              <x14:cfvo type="max"/>
              <x14:negativeFillColor auto="1"/>
              <x14:axisColor auto="1"/>
            </x14:dataBar>
          </x14:cfRule>
          <xm:sqref>N11</xm:sqref>
        </x14:conditionalFormatting>
        <x14:conditionalFormatting xmlns:xm="http://schemas.microsoft.com/office/excel/2006/main">
          <x14:cfRule type="dataBar" id="{1A912E01-36CB-90CF-7401-9CC870743F18}">
            <x14:dataBar>
              <x14:cfvo type="min"/>
              <x14:cfvo type="max"/>
              <x14:negativeFillColor auto="1"/>
              <x14:axisColor auto="1"/>
            </x14:dataBar>
          </x14:cfRule>
          <xm:sqref>O4:O6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Параметры</vt:lpstr>
      <vt:lpstr>План по датам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Черкасова Ксения Павловна</cp:lastModifiedBy>
  <dcterms:modified xsi:type="dcterms:W3CDTF">2026-10-08T06:15:14Z</dcterms:modified>
</cp:coreProperties>
</file>